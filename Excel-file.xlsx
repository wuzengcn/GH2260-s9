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zeng/Library/CloudStorage/GoogleDrive-wz192@georgetown.edu/My Drive/GU/Teach/2026-02-Fall/GLOH2260/GH2260-s9/"/>
    </mc:Choice>
  </mc:AlternateContent>
  <xr:revisionPtr revIDLastSave="0" documentId="13_ncr:1_{261B1141-CECB-4347-8933-25EC034C190B}" xr6:coauthVersionLast="47" xr6:coauthVersionMax="47" xr10:uidLastSave="{00000000-0000-0000-0000-000000000000}"/>
  <bookViews>
    <workbookView xWindow="640" yWindow="600" windowWidth="28040" windowHeight="16060" xr2:uid="{EE8864FA-15CB-3245-9331-66A6933C0884}"/>
  </bookViews>
  <sheets>
    <sheet name="Chart1" sheetId="2" r:id="rId1"/>
    <sheet name="Sheet1" sheetId="1" r:id="rId2"/>
    <sheet name="Chart2" sheetId="3" r:id="rId3"/>
    <sheet name="Chart3" sheetId="5" r:id="rId4"/>
    <sheet name="Chart4" sheetId="6" r:id="rId5"/>
    <sheet name="Sheet2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" i="1"/>
  <c r="H13" i="1"/>
  <c r="H12" i="1"/>
  <c r="H11" i="1"/>
  <c r="J10" i="1"/>
  <c r="J9" i="1"/>
  <c r="H9" i="1"/>
  <c r="J8" i="1"/>
  <c r="H8" i="1"/>
  <c r="G9" i="1"/>
  <c r="G8" i="1"/>
  <c r="M10" i="1" l="1"/>
  <c r="M2" i="1"/>
  <c r="M26" i="1"/>
  <c r="M22" i="1"/>
  <c r="M25" i="1"/>
  <c r="M15" i="1"/>
  <c r="M24" i="1"/>
  <c r="M13" i="1"/>
  <c r="M20" i="1"/>
  <c r="M6" i="1"/>
  <c r="M8" i="1"/>
  <c r="M27" i="1" l="1"/>
  <c r="M9" i="1"/>
  <c r="M23" i="1"/>
  <c r="M18" i="1"/>
  <c r="M17" i="1"/>
  <c r="M5" i="1"/>
  <c r="M16" i="1"/>
  <c r="M3" i="1"/>
  <c r="M11" i="1"/>
  <c r="M7" i="1"/>
  <c r="M12" i="1"/>
  <c r="M19" i="1"/>
  <c r="M4" i="1"/>
  <c r="M14" i="1"/>
  <c r="M21" i="1"/>
</calcChain>
</file>

<file path=xl/sharedStrings.xml><?xml version="1.0" encoding="utf-8"?>
<sst xmlns="http://schemas.openxmlformats.org/spreadsheetml/2006/main" count="19" uniqueCount="14">
  <si>
    <t>y = -1/2x^2 + 5 x + a</t>
  </si>
  <si>
    <t>y</t>
  </si>
  <si>
    <t>a</t>
  </si>
  <si>
    <t>b</t>
  </si>
  <si>
    <t>= ax^2+bx+c</t>
  </si>
  <si>
    <t>c</t>
  </si>
  <si>
    <t>Under certainty</t>
  </si>
  <si>
    <t>Under uncertainty</t>
  </si>
  <si>
    <t>x1</t>
  </si>
  <si>
    <t>x2</t>
  </si>
  <si>
    <t>=a*0^2+b*0+C</t>
  </si>
  <si>
    <t>=a*50000^2+b*50000+C</t>
  </si>
  <si>
    <t>=a*45000^2+b*45000+c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</si>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</sst>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0" fillId="0" borderId="0" xfId="0" quotePrefix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chartsheet" Target="chart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0205022548823"/>
          <c:y val="3.0302049515801774E-2"/>
          <c:w val="0.77626158780587917"/>
          <c:h val="0.835948972085220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Under certainty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Sheet1!$L$2:$L$28</c:f>
              <c:numCache>
                <c:formatCode>General</c:formatCode>
                <c:ptCount val="2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Sheet1!$M$2:$M$28</c:f>
              <c:numCache>
                <c:formatCode>_(* #,##0.00_);_(* \(#,##0.00\);_(* "-"??_);_(@_)</c:formatCode>
                <c:ptCount val="27"/>
                <c:pt idx="0">
                  <c:v>0</c:v>
                </c:pt>
                <c:pt idx="1">
                  <c:v>6.5600000000000005</c:v>
                </c:pt>
                <c:pt idx="2">
                  <c:v>12.906666666666668</c:v>
                </c:pt>
                <c:pt idx="3">
                  <c:v>19.04</c:v>
                </c:pt>
                <c:pt idx="4">
                  <c:v>24.96</c:v>
                </c:pt>
                <c:pt idx="5">
                  <c:v>30.666666666666668</c:v>
                </c:pt>
                <c:pt idx="6">
                  <c:v>36.159999999999997</c:v>
                </c:pt>
                <c:pt idx="7">
                  <c:v>41.440000000000005</c:v>
                </c:pt>
                <c:pt idx="8">
                  <c:v>46.506666666666668</c:v>
                </c:pt>
                <c:pt idx="9">
                  <c:v>51.360000000000007</c:v>
                </c:pt>
                <c:pt idx="10">
                  <c:v>56.000000000000007</c:v>
                </c:pt>
                <c:pt idx="11">
                  <c:v>60.426666666666677</c:v>
                </c:pt>
                <c:pt idx="12">
                  <c:v>64.64</c:v>
                </c:pt>
                <c:pt idx="13">
                  <c:v>68.64</c:v>
                </c:pt>
                <c:pt idx="14">
                  <c:v>72.426666666666677</c:v>
                </c:pt>
                <c:pt idx="15">
                  <c:v>76</c:v>
                </c:pt>
                <c:pt idx="16">
                  <c:v>79.36</c:v>
                </c:pt>
                <c:pt idx="17">
                  <c:v>82.506666666666675</c:v>
                </c:pt>
                <c:pt idx="18">
                  <c:v>85.440000000000012</c:v>
                </c:pt>
                <c:pt idx="19">
                  <c:v>88.16</c:v>
                </c:pt>
                <c:pt idx="20">
                  <c:v>90.666666666666686</c:v>
                </c:pt>
                <c:pt idx="21">
                  <c:v>92.960000000000008</c:v>
                </c:pt>
                <c:pt idx="22">
                  <c:v>95.04000000000002</c:v>
                </c:pt>
                <c:pt idx="23">
                  <c:v>96.906666666666666</c:v>
                </c:pt>
                <c:pt idx="24">
                  <c:v>98.56</c:v>
                </c:pt>
                <c:pt idx="25">
                  <c:v>100.00000000000001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FC-BE4A-9511-172954335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599311"/>
        <c:axId val="1509435775"/>
      </c:scatterChart>
      <c:valAx>
        <c:axId val="1476599311"/>
        <c:scaling>
          <c:orientation val="minMax"/>
          <c:max val="5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9435775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</c:dispUnitsLbl>
        </c:dispUnits>
      </c:valAx>
      <c:valAx>
        <c:axId val="1509435775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659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024024617889556"/>
          <c:y val="7.5050805020011116E-2"/>
          <c:w val="0.2087314774229673"/>
          <c:h val="5.2100934659307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0205022548823"/>
          <c:y val="3.0302049515801774E-2"/>
          <c:w val="0.78065747468644131"/>
          <c:h val="0.835948972085220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Under uncertainty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(Sheet1!$L$2,Sheet1!$L$27:$L$28)</c:f>
              <c:numCache>
                <c:formatCode>General</c:formatCode>
                <c:ptCount val="3"/>
                <c:pt idx="0">
                  <c:v>0</c:v>
                </c:pt>
                <c:pt idx="1">
                  <c:v>50000</c:v>
                </c:pt>
              </c:numCache>
            </c:numRef>
          </c:xVal>
          <c:yVal>
            <c:numRef>
              <c:f>(Sheet1!$N$2,Sheet1!$N$27:$N$28)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6E-984E-9082-CF8199DF6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599311"/>
        <c:axId val="1509435775"/>
      </c:scatterChart>
      <c:valAx>
        <c:axId val="1476599311"/>
        <c:scaling>
          <c:orientation val="minMax"/>
          <c:max val="5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9435775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</c:dispUnitsLbl>
        </c:dispUnits>
      </c:valAx>
      <c:valAx>
        <c:axId val="1509435775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659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903201994001981"/>
          <c:y val="6.2901605193097343E-2"/>
          <c:w val="0.2351067987063401"/>
          <c:h val="5.2100934659307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0205022548823"/>
          <c:y val="3.0302049515801774E-2"/>
          <c:w val="0.73376801462711172"/>
          <c:h val="0.835948972085220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Under uncertainty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(Sheet1!$L$2,Sheet1!$L$27:$L$28)</c:f>
              <c:numCache>
                <c:formatCode>General</c:formatCode>
                <c:ptCount val="3"/>
                <c:pt idx="0">
                  <c:v>0</c:v>
                </c:pt>
                <c:pt idx="1">
                  <c:v>50000</c:v>
                </c:pt>
              </c:numCache>
            </c:numRef>
          </c:xVal>
          <c:yVal>
            <c:numRef>
              <c:f>(Sheet1!$N$2,Sheet1!$N$27:$N$28)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4F-8145-93A1-E3D657E9C7DA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Under certainty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Sheet1!$L$2:$L$28</c:f>
              <c:numCache>
                <c:formatCode>General</c:formatCode>
                <c:ptCount val="2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Sheet1!$M$2:$M$28</c:f>
              <c:numCache>
                <c:formatCode>_(* #,##0.00_);_(* \(#,##0.00\);_(* "-"??_);_(@_)</c:formatCode>
                <c:ptCount val="27"/>
                <c:pt idx="0">
                  <c:v>0</c:v>
                </c:pt>
                <c:pt idx="1">
                  <c:v>6.5600000000000005</c:v>
                </c:pt>
                <c:pt idx="2">
                  <c:v>12.906666666666668</c:v>
                </c:pt>
                <c:pt idx="3">
                  <c:v>19.04</c:v>
                </c:pt>
                <c:pt idx="4">
                  <c:v>24.96</c:v>
                </c:pt>
                <c:pt idx="5">
                  <c:v>30.666666666666668</c:v>
                </c:pt>
                <c:pt idx="6">
                  <c:v>36.159999999999997</c:v>
                </c:pt>
                <c:pt idx="7">
                  <c:v>41.440000000000005</c:v>
                </c:pt>
                <c:pt idx="8">
                  <c:v>46.506666666666668</c:v>
                </c:pt>
                <c:pt idx="9">
                  <c:v>51.360000000000007</c:v>
                </c:pt>
                <c:pt idx="10">
                  <c:v>56.000000000000007</c:v>
                </c:pt>
                <c:pt idx="11">
                  <c:v>60.426666666666677</c:v>
                </c:pt>
                <c:pt idx="12">
                  <c:v>64.64</c:v>
                </c:pt>
                <c:pt idx="13">
                  <c:v>68.64</c:v>
                </c:pt>
                <c:pt idx="14">
                  <c:v>72.426666666666677</c:v>
                </c:pt>
                <c:pt idx="15">
                  <c:v>76</c:v>
                </c:pt>
                <c:pt idx="16">
                  <c:v>79.36</c:v>
                </c:pt>
                <c:pt idx="17">
                  <c:v>82.506666666666675</c:v>
                </c:pt>
                <c:pt idx="18">
                  <c:v>85.440000000000012</c:v>
                </c:pt>
                <c:pt idx="19">
                  <c:v>88.16</c:v>
                </c:pt>
                <c:pt idx="20">
                  <c:v>90.666666666666686</c:v>
                </c:pt>
                <c:pt idx="21">
                  <c:v>92.960000000000008</c:v>
                </c:pt>
                <c:pt idx="22">
                  <c:v>95.04000000000002</c:v>
                </c:pt>
                <c:pt idx="23">
                  <c:v>96.906666666666666</c:v>
                </c:pt>
                <c:pt idx="24">
                  <c:v>98.56</c:v>
                </c:pt>
                <c:pt idx="25">
                  <c:v>100.00000000000001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4F-8145-93A1-E3D657E9C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599311"/>
        <c:axId val="1509435775"/>
      </c:scatterChart>
      <c:valAx>
        <c:axId val="1476599311"/>
        <c:scaling>
          <c:orientation val="minMax"/>
          <c:max val="5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9435775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</c:dispUnitsLbl>
        </c:dispUnits>
      </c:valAx>
      <c:valAx>
        <c:axId val="1509435775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659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65669865664698"/>
          <c:y val="4.2925737776900494E-2"/>
          <c:w val="0.2351067987063401"/>
          <c:h val="0.10420186931861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0205022548823"/>
          <c:y val="3.0302049515801774E-2"/>
          <c:w val="0.73376801462711172"/>
          <c:h val="0.835948972085220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Under uncertainty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(Sheet1!$L$2,Sheet1!$L$27:$L$28)</c:f>
              <c:numCache>
                <c:formatCode>General</c:formatCode>
                <c:ptCount val="3"/>
                <c:pt idx="0">
                  <c:v>0</c:v>
                </c:pt>
                <c:pt idx="1">
                  <c:v>50000</c:v>
                </c:pt>
              </c:numCache>
            </c:numRef>
          </c:xVal>
          <c:yVal>
            <c:numRef>
              <c:f>(Sheet1!$N$2,Sheet1!$N$27:$N$28)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D7-C343-AB9C-E8ADEE992605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Under certainty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Sheet1!$L$2:$L$28</c:f>
              <c:numCache>
                <c:formatCode>General</c:formatCode>
                <c:ptCount val="2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Sheet1!$M$2:$M$28</c:f>
              <c:numCache>
                <c:formatCode>_(* #,##0.00_);_(* \(#,##0.00\);_(* "-"??_);_(@_)</c:formatCode>
                <c:ptCount val="27"/>
                <c:pt idx="0">
                  <c:v>0</c:v>
                </c:pt>
                <c:pt idx="1">
                  <c:v>6.5600000000000005</c:v>
                </c:pt>
                <c:pt idx="2">
                  <c:v>12.906666666666668</c:v>
                </c:pt>
                <c:pt idx="3">
                  <c:v>19.04</c:v>
                </c:pt>
                <c:pt idx="4">
                  <c:v>24.96</c:v>
                </c:pt>
                <c:pt idx="5">
                  <c:v>30.666666666666668</c:v>
                </c:pt>
                <c:pt idx="6">
                  <c:v>36.159999999999997</c:v>
                </c:pt>
                <c:pt idx="7">
                  <c:v>41.440000000000005</c:v>
                </c:pt>
                <c:pt idx="8">
                  <c:v>46.506666666666668</c:v>
                </c:pt>
                <c:pt idx="9">
                  <c:v>51.360000000000007</c:v>
                </c:pt>
                <c:pt idx="10">
                  <c:v>56.000000000000007</c:v>
                </c:pt>
                <c:pt idx="11">
                  <c:v>60.426666666666677</c:v>
                </c:pt>
                <c:pt idx="12">
                  <c:v>64.64</c:v>
                </c:pt>
                <c:pt idx="13">
                  <c:v>68.64</c:v>
                </c:pt>
                <c:pt idx="14">
                  <c:v>72.426666666666677</c:v>
                </c:pt>
                <c:pt idx="15">
                  <c:v>76</c:v>
                </c:pt>
                <c:pt idx="16">
                  <c:v>79.36</c:v>
                </c:pt>
                <c:pt idx="17">
                  <c:v>82.506666666666675</c:v>
                </c:pt>
                <c:pt idx="18">
                  <c:v>85.440000000000012</c:v>
                </c:pt>
                <c:pt idx="19">
                  <c:v>88.16</c:v>
                </c:pt>
                <c:pt idx="20">
                  <c:v>90.666666666666686</c:v>
                </c:pt>
                <c:pt idx="21">
                  <c:v>92.960000000000008</c:v>
                </c:pt>
                <c:pt idx="22">
                  <c:v>95.04000000000002</c:v>
                </c:pt>
                <c:pt idx="23">
                  <c:v>96.906666666666666</c:v>
                </c:pt>
                <c:pt idx="24">
                  <c:v>98.56</c:v>
                </c:pt>
                <c:pt idx="25">
                  <c:v>100.00000000000001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D7-C343-AB9C-E8ADEE992605}"/>
            </c:ext>
          </c:extLst>
        </c:ser>
        <c:ser>
          <c:idx val="2"/>
          <c:order val="2"/>
          <c:tx>
            <c:v>"Utility at 96"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Sheet1!$L$2:$L$28</c:f>
              <c:numCache>
                <c:formatCode>General</c:formatCode>
                <c:ptCount val="2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Sheet1!$O$2:$O$28</c:f>
              <c:numCache>
                <c:formatCode>General</c:formatCode>
                <c:ptCount val="27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96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  <c:pt idx="12">
                  <c:v>96</c:v>
                </c:pt>
                <c:pt idx="13">
                  <c:v>96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96</c:v>
                </c:pt>
                <c:pt idx="18">
                  <c:v>96</c:v>
                </c:pt>
                <c:pt idx="19">
                  <c:v>96</c:v>
                </c:pt>
                <c:pt idx="20">
                  <c:v>96</c:v>
                </c:pt>
                <c:pt idx="21">
                  <c:v>96</c:v>
                </c:pt>
                <c:pt idx="22">
                  <c:v>96</c:v>
                </c:pt>
                <c:pt idx="23">
                  <c:v>96</c:v>
                </c:pt>
                <c:pt idx="24">
                  <c:v>96</c:v>
                </c:pt>
                <c:pt idx="25">
                  <c:v>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D7-C343-AB9C-E8ADEE99260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Sheet1!$P$2:$P$3</c:f>
              <c:numCache>
                <c:formatCode>General</c:formatCode>
                <c:ptCount val="2"/>
                <c:pt idx="0">
                  <c:v>45000</c:v>
                </c:pt>
                <c:pt idx="1">
                  <c:v>45000</c:v>
                </c:pt>
              </c:numCache>
            </c:numRef>
          </c:xVal>
          <c:yVal>
            <c:numRef>
              <c:f>Sheet1!$R$2:$R$3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D7-C343-AB9C-E8ADEE99260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Sheet1!$Q$2:$Q$3</c:f>
              <c:numCache>
                <c:formatCode>General</c:formatCode>
                <c:ptCount val="2"/>
                <c:pt idx="0">
                  <c:v>48000</c:v>
                </c:pt>
                <c:pt idx="1">
                  <c:v>48000</c:v>
                </c:pt>
              </c:numCache>
            </c:numRef>
          </c:xVal>
          <c:yVal>
            <c:numRef>
              <c:f>Sheet1!$R$2:$R$3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D7-C343-AB9C-E8ADEE992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599311"/>
        <c:axId val="1509435775"/>
      </c:scatterChart>
      <c:valAx>
        <c:axId val="1476599311"/>
        <c:scaling>
          <c:orientation val="minMax"/>
          <c:max val="5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9435775"/>
        <c:crosses val="autoZero"/>
        <c:crossBetween val="midCat"/>
        <c:majorUnit val="10000"/>
        <c:minorUnit val="5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</c:dispUnitsLbl>
        </c:dispUnits>
      </c:valAx>
      <c:valAx>
        <c:axId val="1509435775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659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4947940464770407"/>
          <c:y val="9.5554026692545396E-2"/>
          <c:w val="0.31786416706473536"/>
          <c:h val="0.14618062850509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9A8D0C-7C18-684A-862D-9B29937670B5}">
  <sheetPr/>
  <sheetViews>
    <sheetView tabSelected="1" zoomScale="11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F61BF8-2653-F946-823C-5217EBD710CF}">
  <sheetPr/>
  <sheetViews>
    <sheetView zoomScale="11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3D7E1B-EEE1-184C-9CED-F3633440B16B}">
  <sheetPr/>
  <sheetViews>
    <sheetView zoomScale="11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0463F3-3FA0-7A41-9F9B-156735AFFDF9}">
  <sheetPr/>
  <sheetViews>
    <sheetView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733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B5408B-3117-4BF8-9F88-CF758C84B1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733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AE1C5-474B-DBB5-3C6E-15ACFED11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733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44C58-118E-6FAB-EE57-477EAD5027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733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D9162-E3E0-9B1F-F96C-ADEEB92105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0125-B598-3542-8AEF-DC990DAE2C92}">
  <dimension ref="D1:R27"/>
  <sheetViews>
    <sheetView topLeftCell="D1" workbookViewId="0">
      <selection activeCell="Q3" sqref="Q3"/>
    </sheetView>
  </sheetViews>
  <sheetFormatPr baseColWidth="10" defaultRowHeight="16" x14ac:dyDescent="0.2"/>
  <cols>
    <col min="8" max="8" width="13.6640625" bestFit="1" customWidth="1"/>
  </cols>
  <sheetData>
    <row r="1" spans="4:18" x14ac:dyDescent="0.2">
      <c r="M1" t="s">
        <v>6</v>
      </c>
      <c r="N1" t="s">
        <v>7</v>
      </c>
      <c r="P1" t="s">
        <v>8</v>
      </c>
      <c r="Q1" t="s">
        <v>9</v>
      </c>
      <c r="R1" t="s">
        <v>1</v>
      </c>
    </row>
    <row r="2" spans="4:18" x14ac:dyDescent="0.2">
      <c r="E2" t="s">
        <v>0</v>
      </c>
      <c r="L2">
        <v>0</v>
      </c>
      <c r="M2" s="1">
        <f>$H$11*L2^2+$H$12*L2+$H$13</f>
        <v>0</v>
      </c>
      <c r="N2">
        <f>L2*$R$3/$Q$3</f>
        <v>0</v>
      </c>
      <c r="O2">
        <f>$R$3</f>
        <v>96</v>
      </c>
      <c r="P2">
        <v>45000</v>
      </c>
      <c r="Q2">
        <v>48000</v>
      </c>
      <c r="R2">
        <v>0</v>
      </c>
    </row>
    <row r="3" spans="4:18" x14ac:dyDescent="0.2">
      <c r="L3">
        <v>2000</v>
      </c>
      <c r="M3" s="1">
        <f t="shared" ref="M3:M27" si="0">$H$11*L3^2+$H$12*L3+$H$13</f>
        <v>6.5600000000000005</v>
      </c>
      <c r="N3">
        <f t="shared" ref="N3:N27" si="1">L3*$R$3/$Q$3</f>
        <v>4</v>
      </c>
      <c r="O3">
        <f t="shared" ref="O3:O27" si="2">$R$3</f>
        <v>96</v>
      </c>
      <c r="P3">
        <v>45000</v>
      </c>
      <c r="Q3">
        <v>48000</v>
      </c>
      <c r="R3">
        <v>96</v>
      </c>
    </row>
    <row r="4" spans="4:18" x14ac:dyDescent="0.2">
      <c r="L4">
        <v>4000</v>
      </c>
      <c r="M4" s="1">
        <f t="shared" si="0"/>
        <v>12.906666666666668</v>
      </c>
      <c r="N4">
        <f t="shared" si="1"/>
        <v>8</v>
      </c>
      <c r="O4">
        <f t="shared" si="2"/>
        <v>96</v>
      </c>
    </row>
    <row r="5" spans="4:18" x14ac:dyDescent="0.2">
      <c r="F5">
        <v>0</v>
      </c>
      <c r="G5">
        <v>50000</v>
      </c>
      <c r="H5">
        <v>45000</v>
      </c>
      <c r="L5">
        <v>6000</v>
      </c>
      <c r="M5" s="1">
        <f t="shared" si="0"/>
        <v>19.04</v>
      </c>
      <c r="N5">
        <f t="shared" si="1"/>
        <v>12</v>
      </c>
      <c r="O5">
        <f t="shared" si="2"/>
        <v>96</v>
      </c>
    </row>
    <row r="6" spans="4:18" x14ac:dyDescent="0.2">
      <c r="D6" t="s">
        <v>1</v>
      </c>
      <c r="E6" s="2" t="s">
        <v>4</v>
      </c>
      <c r="F6">
        <v>0</v>
      </c>
      <c r="G6">
        <v>100</v>
      </c>
      <c r="H6">
        <v>96</v>
      </c>
      <c r="L6">
        <v>8000</v>
      </c>
      <c r="M6" s="1">
        <f t="shared" si="0"/>
        <v>24.96</v>
      </c>
      <c r="N6">
        <f t="shared" si="1"/>
        <v>16</v>
      </c>
      <c r="O6">
        <f t="shared" si="2"/>
        <v>96</v>
      </c>
    </row>
    <row r="7" spans="4:18" x14ac:dyDescent="0.2">
      <c r="L7">
        <v>10000</v>
      </c>
      <c r="M7" s="1">
        <f t="shared" si="0"/>
        <v>30.666666666666668</v>
      </c>
      <c r="N7">
        <f t="shared" si="1"/>
        <v>20</v>
      </c>
      <c r="O7">
        <f t="shared" si="2"/>
        <v>96</v>
      </c>
    </row>
    <row r="8" spans="4:18" x14ac:dyDescent="0.2">
      <c r="D8">
        <v>0</v>
      </c>
      <c r="E8" s="2" t="s">
        <v>10</v>
      </c>
      <c r="G8">
        <f>G6-F6</f>
        <v>100</v>
      </c>
      <c r="H8">
        <f>G5^2</f>
        <v>2500000000</v>
      </c>
      <c r="I8" t="s">
        <v>2</v>
      </c>
      <c r="J8">
        <f>G5</f>
        <v>50000</v>
      </c>
      <c r="K8" t="s">
        <v>3</v>
      </c>
      <c r="L8">
        <v>12000</v>
      </c>
      <c r="M8" s="1">
        <f t="shared" si="0"/>
        <v>36.159999999999997</v>
      </c>
      <c r="N8">
        <f t="shared" si="1"/>
        <v>24</v>
      </c>
      <c r="O8">
        <f t="shared" si="2"/>
        <v>96</v>
      </c>
    </row>
    <row r="9" spans="4:18" x14ac:dyDescent="0.2">
      <c r="D9">
        <v>100</v>
      </c>
      <c r="E9" s="2" t="s">
        <v>11</v>
      </c>
      <c r="G9">
        <f>G6-H6</f>
        <v>4</v>
      </c>
      <c r="H9" s="3">
        <f>G5^2-H5^2</f>
        <v>475000000</v>
      </c>
      <c r="I9" t="s">
        <v>2</v>
      </c>
      <c r="J9">
        <f>G5-H5</f>
        <v>5000</v>
      </c>
      <c r="K9" t="s">
        <v>3</v>
      </c>
      <c r="L9">
        <v>14000</v>
      </c>
      <c r="M9" s="1">
        <f t="shared" si="0"/>
        <v>41.440000000000005</v>
      </c>
      <c r="N9">
        <f t="shared" si="1"/>
        <v>28</v>
      </c>
      <c r="O9">
        <f t="shared" si="2"/>
        <v>96</v>
      </c>
    </row>
    <row r="10" spans="4:18" x14ac:dyDescent="0.2">
      <c r="D10">
        <v>96</v>
      </c>
      <c r="E10" s="2" t="s">
        <v>12</v>
      </c>
      <c r="J10">
        <f>J8/J9</f>
        <v>10</v>
      </c>
      <c r="K10" t="s">
        <v>13</v>
      </c>
      <c r="L10">
        <v>16000</v>
      </c>
      <c r="M10" s="1">
        <f t="shared" si="0"/>
        <v>46.506666666666668</v>
      </c>
      <c r="N10">
        <f t="shared" si="1"/>
        <v>32</v>
      </c>
      <c r="O10">
        <f t="shared" si="2"/>
        <v>96</v>
      </c>
    </row>
    <row r="11" spans="4:18" x14ac:dyDescent="0.2">
      <c r="G11" t="s">
        <v>2</v>
      </c>
      <c r="H11">
        <f>(G8-G9*J10)/(H8-H9*J10)</f>
        <v>-2.6666666666666667E-8</v>
      </c>
      <c r="L11">
        <v>18000</v>
      </c>
      <c r="M11" s="1">
        <f t="shared" si="0"/>
        <v>51.360000000000007</v>
      </c>
      <c r="N11">
        <f t="shared" si="1"/>
        <v>36</v>
      </c>
      <c r="O11">
        <f t="shared" si="2"/>
        <v>96</v>
      </c>
    </row>
    <row r="12" spans="4:18" x14ac:dyDescent="0.2">
      <c r="G12" t="s">
        <v>3</v>
      </c>
      <c r="H12">
        <f>(G8-H8*H11)/J8</f>
        <v>3.3333333333333335E-3</v>
      </c>
      <c r="L12">
        <v>20000</v>
      </c>
      <c r="M12" s="1">
        <f t="shared" si="0"/>
        <v>56.000000000000007</v>
      </c>
      <c r="N12">
        <f t="shared" si="1"/>
        <v>40</v>
      </c>
      <c r="O12">
        <f t="shared" si="2"/>
        <v>96</v>
      </c>
    </row>
    <row r="13" spans="4:18" x14ac:dyDescent="0.2">
      <c r="G13" t="s">
        <v>5</v>
      </c>
      <c r="H13">
        <f>G6-H8*H11-J8*H12</f>
        <v>0</v>
      </c>
      <c r="L13">
        <v>22000</v>
      </c>
      <c r="M13" s="1">
        <f t="shared" si="0"/>
        <v>60.426666666666677</v>
      </c>
      <c r="N13">
        <f t="shared" si="1"/>
        <v>44</v>
      </c>
      <c r="O13">
        <f t="shared" si="2"/>
        <v>96</v>
      </c>
    </row>
    <row r="14" spans="4:18" x14ac:dyDescent="0.2">
      <c r="L14">
        <v>24000</v>
      </c>
      <c r="M14" s="1">
        <f t="shared" si="0"/>
        <v>64.64</v>
      </c>
      <c r="N14">
        <f t="shared" si="1"/>
        <v>48</v>
      </c>
      <c r="O14">
        <f t="shared" si="2"/>
        <v>96</v>
      </c>
    </row>
    <row r="15" spans="4:18" x14ac:dyDescent="0.2">
      <c r="L15">
        <v>26000</v>
      </c>
      <c r="M15" s="1">
        <f t="shared" si="0"/>
        <v>68.64</v>
      </c>
      <c r="N15">
        <f t="shared" si="1"/>
        <v>52</v>
      </c>
      <c r="O15">
        <f t="shared" si="2"/>
        <v>96</v>
      </c>
    </row>
    <row r="16" spans="4:18" x14ac:dyDescent="0.2">
      <c r="L16">
        <v>28000</v>
      </c>
      <c r="M16" s="1">
        <f t="shared" si="0"/>
        <v>72.426666666666677</v>
      </c>
      <c r="N16">
        <f t="shared" si="1"/>
        <v>56</v>
      </c>
      <c r="O16">
        <f t="shared" si="2"/>
        <v>96</v>
      </c>
    </row>
    <row r="17" spans="12:15" x14ac:dyDescent="0.2">
      <c r="L17">
        <v>30000</v>
      </c>
      <c r="M17" s="1">
        <f t="shared" si="0"/>
        <v>76</v>
      </c>
      <c r="N17">
        <f t="shared" si="1"/>
        <v>60</v>
      </c>
      <c r="O17">
        <f t="shared" si="2"/>
        <v>96</v>
      </c>
    </row>
    <row r="18" spans="12:15" x14ac:dyDescent="0.2">
      <c r="L18">
        <v>32000</v>
      </c>
      <c r="M18" s="1">
        <f t="shared" si="0"/>
        <v>79.36</v>
      </c>
      <c r="N18">
        <f t="shared" si="1"/>
        <v>64</v>
      </c>
      <c r="O18">
        <f t="shared" si="2"/>
        <v>96</v>
      </c>
    </row>
    <row r="19" spans="12:15" x14ac:dyDescent="0.2">
      <c r="L19">
        <v>34000</v>
      </c>
      <c r="M19" s="1">
        <f t="shared" si="0"/>
        <v>82.506666666666675</v>
      </c>
      <c r="N19">
        <f t="shared" si="1"/>
        <v>68</v>
      </c>
      <c r="O19">
        <f t="shared" si="2"/>
        <v>96</v>
      </c>
    </row>
    <row r="20" spans="12:15" x14ac:dyDescent="0.2">
      <c r="L20">
        <v>36000</v>
      </c>
      <c r="M20" s="1">
        <f t="shared" si="0"/>
        <v>85.440000000000012</v>
      </c>
      <c r="N20">
        <f t="shared" si="1"/>
        <v>72</v>
      </c>
      <c r="O20">
        <f t="shared" si="2"/>
        <v>96</v>
      </c>
    </row>
    <row r="21" spans="12:15" x14ac:dyDescent="0.2">
      <c r="L21">
        <v>38000</v>
      </c>
      <c r="M21" s="1">
        <f t="shared" si="0"/>
        <v>88.16</v>
      </c>
      <c r="N21">
        <f t="shared" si="1"/>
        <v>76</v>
      </c>
      <c r="O21">
        <f t="shared" si="2"/>
        <v>96</v>
      </c>
    </row>
    <row r="22" spans="12:15" x14ac:dyDescent="0.2">
      <c r="L22">
        <v>40000</v>
      </c>
      <c r="M22" s="1">
        <f t="shared" si="0"/>
        <v>90.666666666666686</v>
      </c>
      <c r="N22">
        <f t="shared" si="1"/>
        <v>80</v>
      </c>
      <c r="O22">
        <f t="shared" si="2"/>
        <v>96</v>
      </c>
    </row>
    <row r="23" spans="12:15" x14ac:dyDescent="0.2">
      <c r="L23">
        <v>42000</v>
      </c>
      <c r="M23" s="1">
        <f t="shared" si="0"/>
        <v>92.960000000000008</v>
      </c>
      <c r="N23">
        <f t="shared" si="1"/>
        <v>84</v>
      </c>
      <c r="O23">
        <f t="shared" si="2"/>
        <v>96</v>
      </c>
    </row>
    <row r="24" spans="12:15" x14ac:dyDescent="0.2">
      <c r="L24">
        <v>44000</v>
      </c>
      <c r="M24" s="1">
        <f t="shared" si="0"/>
        <v>95.04000000000002</v>
      </c>
      <c r="N24">
        <f t="shared" si="1"/>
        <v>88</v>
      </c>
      <c r="O24">
        <f t="shared" si="2"/>
        <v>96</v>
      </c>
    </row>
    <row r="25" spans="12:15" x14ac:dyDescent="0.2">
      <c r="L25">
        <v>46000</v>
      </c>
      <c r="M25" s="1">
        <f t="shared" si="0"/>
        <v>96.906666666666666</v>
      </c>
      <c r="N25">
        <f t="shared" si="1"/>
        <v>92</v>
      </c>
      <c r="O25">
        <f t="shared" si="2"/>
        <v>96</v>
      </c>
    </row>
    <row r="26" spans="12:15" x14ac:dyDescent="0.2">
      <c r="L26">
        <v>48000</v>
      </c>
      <c r="M26" s="1">
        <f t="shared" si="0"/>
        <v>98.56</v>
      </c>
      <c r="N26">
        <f t="shared" si="1"/>
        <v>96</v>
      </c>
      <c r="O26">
        <f t="shared" si="2"/>
        <v>96</v>
      </c>
    </row>
    <row r="27" spans="12:15" x14ac:dyDescent="0.2">
      <c r="L27">
        <v>50000</v>
      </c>
      <c r="M27" s="1">
        <f t="shared" si="0"/>
        <v>100.00000000000001</v>
      </c>
      <c r="N27">
        <f t="shared" si="1"/>
        <v>100</v>
      </c>
      <c r="O27">
        <f t="shared" si="2"/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8404-804D-F545-AE75-4B28A75DDCA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Sheet1</vt:lpstr>
      <vt:lpstr>Sheet2</vt:lpstr>
      <vt:lpstr>Chart1</vt:lpstr>
      <vt:lpstr>Chart2</vt:lpstr>
      <vt:lpstr>Chart3</vt:lpstr>
      <vt:lpstr>Chart4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Zeng</dc:creator>
  <cp:lastModifiedBy>Wu Zeng</cp:lastModifiedBy>
  <dcterms:created xsi:type="dcterms:W3CDTF">2024-10-02T20:06:07Z</dcterms:created>
  <dcterms:modified xsi:type="dcterms:W3CDTF">2026-07-05T11:24:12Z</dcterms:modified>
</cp:coreProperties>
</file>